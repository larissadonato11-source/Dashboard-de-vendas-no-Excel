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ri Donato\Downloads\"/>
    </mc:Choice>
  </mc:AlternateContent>
  <xr:revisionPtr revIDLastSave="0" documentId="13_ncr:1_{BF7CABA4-3829-47BC-8603-7D3FB0AF26D2}" xr6:coauthVersionLast="47" xr6:coauthVersionMax="47" xr10:uidLastSave="{00000000-0000-0000-0000-000000000000}"/>
  <bookViews>
    <workbookView xWindow="-120" yWindow="-120" windowWidth="20730" windowHeight="11160" tabRatio="8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4" i="3" l="1"/>
  <c r="D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<sst xmlns="http://schemas.openxmlformats.org/spreadsheetml/2006/main" count="2022" uniqueCount="324">
  <si>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</si>
  <si>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</si>
  <si>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</si>
  <si>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</si>
  <si>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</si>
  <si>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</si>
  <si>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</si>
  <si>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</si>
  <si>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</si>
  <si>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</si>
  <si>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</si>
  <si>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</si>
  <si>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</si>
  <si>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</si>
  <si>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</si>
  <si>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</si>
  <si>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</si>
  <si>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</si>
  <si>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</si>
  <si>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</si>
  <si>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</si>
  <si>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</si>
  <si>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</si>
  <si>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</si>
  <si>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</si>
  <si>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</si>
  <si>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</si>
  <si>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</si>
  <si>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</si>
  <si>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</si>
  <si>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</si>
  <si>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</si>
  <si>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</si>
  <si>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</si>
  <si>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</si>
  <si>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</si>
  <si>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</si>
  <si>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</si>
  <si>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</si>
  <si>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</si>
  <si>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</si>
  <si>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</si>
  <si>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</si>
  <si>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</si>
  <si>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</si>
  <si>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</si>
  <si>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</si>
  <si>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</si>
  <si>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</si>
  <si>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</si>
  <si>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</si>
  <si>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</si>
  <si>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</si>
  <si>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</si>
  <si>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</si>
  <si>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</si>
  <si>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</si>
  <si>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</si>
  <si>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</si>
  <si>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</si>
  <si>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</si>
  <si>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</si>
  <si>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</si>
  <si>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</si>
  <si>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</si>
  <si>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</si>
  <si>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</si>
  <si>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</si>
  <si>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</si>
  <si>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</si>
  <si>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</si>
  <si>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</si>
  <si>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</si>
  <si>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</si>
  <si>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</si>
  <si>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</si>
  <si>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</si>
  <si>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</si>
  <si>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</si>
  <si>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</si>
  <si>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</si>
  <si>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</si>
  <si>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</si>
  <si>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</si>
  <si>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</si>
  <si>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</si>
  <si>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</si>
  <si>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</si>
  <si>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</si>
  <si>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</si>
  <si>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</si>
  <si>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</si>
  <si>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</si>
  <si>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</si>
  <si>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</si>
  <si>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</si>
  <si>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</si>
  <si>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</si>
  <si>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</si>
  <si>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</si>
  <si>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</si>
  <si>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</si>
  <si>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</si>
  <si>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</si>
  <si>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</si>
  <si>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</si>
  <si>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</si>
  <si>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</si>
  <si>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</si>
  <si>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</si>
  <si>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</si>
  <si>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</si>
  <si>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</si>
  <si>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</si>
  <si>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</si>
  <si>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</si>
  <si>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</si>
  <si>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</si>
  <si>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</si>
  <si>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</si>
  <si>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</si>
  <si>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</si>
  <si>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</si>
  <si>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</si>
  <si>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</si>
  <si>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</si>
  <si>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</si>
  <si>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</si>
  <si>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</si>
  <si>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</si>
  <si>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</si>
  <si>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</si>
  <si>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</si>
  <si>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</si>
  <si>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</si>
  <si>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</si>
  <si>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</si>
  <si>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</si>
  <si>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</si>
  <si>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</si>
  <si>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</si>
  <si>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</si>
  <si>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</si>
  <si>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</si>
  <si>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</si>
  <si>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</si>
  <si>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</si>
  <si>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</si>
  <si>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</si>
  <si>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</si>
  <si>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</si>
  <si>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</si>
  <si>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</si>
  <si>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</si>
  <si>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</si>
  <si>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</si>
  <si>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</si>
  <si>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</si>
  <si>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</si>
  <si>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</si>
  <si>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</si>
  <si>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</si>
  <si>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</si>
  <si>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</si>
  <si>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</si>
  <si>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</si>
  <si>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</si>
  <si>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</si>
  <si>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</si>
  <si>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</si>
  <si>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</si>
  <si>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</si>
  <si>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</si>
  <si>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</si>
  <si>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</si>
  <si>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</si>
  <si>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</si>
  <si>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</si>
  <si>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</si>
  <si>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</si>
  <si>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</si>
  <si>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</si>
  <si>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</si>
  <si>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</si>
  <si>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</si>
  <si>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</si>
  <si>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</si>
  <si>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</si>
  <si>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</si>
  <si>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</si>
  <si>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</si>
  <si>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</si>
  <si>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</si>
  <si>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</si>
  <si>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</si>
  <si>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</si>
  <si>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</si>
  <si>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</si>
  <si>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</si>
  <si>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</si>
  <si>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</si>
  <si>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</si>
  <si>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</si>
  <si>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</si>
  <si>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</si>
  <si>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</si>
  <si>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</si>
  <si>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</si>
  <si>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</si>
  <si>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</si>
  <si>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</si>
  <si>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</si>
  <si>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</si>
  <si>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</si>
  <si>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</si>
  <si>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</si>
  <si>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</si>
  <si>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</si>
  <si>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</si>
  <si>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</si>
  <si>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</si>
  <si>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</si>
  <si>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</si>
  <si>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</si>
  <si>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</si>
  <si>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</si>
  <si>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</si>
  <si>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</si>
  <si>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</si>
  <si>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</si>
  <si>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</si>
  <si>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</si>
  <si>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</si>
  <si>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</si>
  <si>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</si>
  <si>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</si>
  <si>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</si>
  <si>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</si>
  <si>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</si>
  <si>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</si>
  <si>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</si>
  <si>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</si>
  <si>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</si>
  <si>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</si>
  <si>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</si>
  <si>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</si>
  <si>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</si>
  <si>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</si>
  <si>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</si>
  <si>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</si>
  <si>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</si>
  <si>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</si>
  <si>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</si>
  <si>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</si>
  <si>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</si>
  <si>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</si>
  <si>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</si>
  <si>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</si>
  <si>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</si>
  <si>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</si>
  <si>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</si>
  <si>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</si>
  <si>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</si>
  <si>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</si>
  <si>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</si>
  <si>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</si>
  <si>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</si>
  <si>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</si>
  <si>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</si>
  <si>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</si>
  <si>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</si>
  <si>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</si>
  <si>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</si>
  <si>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</si>
  <si>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</si>
  <si>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</si>
  <si>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</si>
  <si>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</si>
  <si>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</si>
  <si>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</si>
  <si>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</si>
  <si>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</si>
  <si>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</si>
  <si>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</si>
  <si>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</si>
  <si>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</si>
  <si>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</si>
  <si>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</si>
  <si>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</si>
  <si>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</si>
  <si>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</si>
  <si>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</si>
  <si>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</si>
  <si>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</si>
  <si>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</si>
  <si>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</si>
  <si>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</si>
  <si>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</si>
  <si>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</si>
  <si>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</si>
  <si>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</si>
  <si>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</si>
  <si>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</si>
  <si>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</si>
  <si>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</si>
  <si>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</si>
  <si>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</si>
  <si>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</si>
  <si>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</si>
  <si>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</si>
  <si>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</si>
  <si>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</si>
  <si>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</si>
  <si>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</si>
  <si>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</si>
  <si>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</si>
  <si>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Soma de EA Play Season Pass</t>
  </si>
  <si>
    <t>Soma de Minecraft Season Pass Price</t>
  </si>
  <si>
    <t>É uma pergunta de negócio respondida através de alguma análise de dado específica</t>
  </si>
  <si>
    <r>
      <rPr>
        <b/>
        <sz val="11"/>
        <color theme="1"/>
        <rFont val="Aptos Narrow"/>
        <family val="2"/>
        <scheme val="minor"/>
      </rPr>
      <t xml:space="preserve">Pergunta de Negócio 1: </t>
    </r>
    <r>
      <rPr>
        <sz val="11"/>
        <color theme="1"/>
        <rFont val="Aptos Narrow"/>
        <family val="2"/>
        <scheme val="minor"/>
      </rPr>
      <t xml:space="preserve">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</si>
  <si>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rPr>
        <b/>
        <sz val="11"/>
        <color theme="1"/>
        <rFont val="Aptos Narrow"/>
        <family val="2"/>
        <scheme val="minor"/>
      </rPr>
      <t>Pergunta de Negócio 2 :</t>
    </r>
    <r>
      <rPr>
        <sz val="11"/>
        <color theme="1"/>
        <rFont val="Aptos Narrow"/>
        <family val="2"/>
        <scheme val="minor"/>
      </rPr>
      <t xml:space="preserve">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</si>
  <si>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r>
      <rPr>
        <b/>
        <sz val="11"/>
        <color theme="1"/>
        <rFont val="Aptos Narrow"/>
        <family val="2"/>
        <scheme val="minor"/>
      </rPr>
      <t>Pergunta Negócio 3:</t>
    </r>
    <r>
      <rPr>
        <sz val="11"/>
        <color theme="1"/>
        <rFont val="Aptos Narrow"/>
        <family val="2"/>
        <scheme val="minor"/>
      </rPr>
      <t xml:space="preserve"> Total de Vendas de Assinaturas do EA Play</t>
    </r>
  </si>
  <si>
    <r>
      <rPr>
        <b/>
        <sz val="11"/>
        <color theme="1"/>
        <rFont val="Aptos Narrow"/>
        <family val="2"/>
        <scheme val="minor"/>
      </rPr>
      <t>Pergunta Negócio 4</t>
    </r>
    <r>
      <rPr>
        <sz val="11"/>
        <color theme="1"/>
        <rFont val="Aptos Narrow"/>
        <family val="2"/>
        <scheme val="minor"/>
      </rPr>
      <t>: Total de Vendas de Assinaturas do Minecraft Season Pass</t>
    </r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</si>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</sst>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0.3999450666829432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5" fillId="0" borderId="2" xfId="1" applyFont="1" applyBorder="1"/>
    <xf numFmtId="0" fontId="6" fillId="0" borderId="2" xfId="1" applyFont="1" applyBorder="1"/>
    <xf numFmtId="44" fontId="0" fillId="0" borderId="0" xfId="2" applyFont="1"/>
    <xf numFmtId="2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6" fillId="0" borderId="2" xfId="1" applyFont="1" applyBorder="1" applyAlignment="1">
      <alignment horizontal="left" indent="2"/>
    </xf>
    <xf numFmtId="0" fontId="2" fillId="9" borderId="0" xfId="3" applyFont="1" applyFill="1" applyAlignment="1">
      <alignment horizontal="center"/>
    </xf>
    <xf numFmtId="0" fontId="0" fillId="4" borderId="0" xfId="0" applyFont="1" applyFill="1"/>
    <xf numFmtId="0" fontId="0" fillId="7" borderId="0" xfId="0" applyFont="1" applyFill="1"/>
    <xf numFmtId="0" fontId="0" fillId="0" borderId="0" xfId="0" applyFon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44"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2" formatCode="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2" formatCode="0.00"/>
    </dxf>
    <dxf>
      <numFmt numFmtId="165" formatCode="&quot;R$&quot;\ #,##0.00"/>
    </dxf>
    <dxf>
      <numFmt numFmtId="2" formatCode="0.00"/>
    </dxf>
    <dxf>
      <font>
        <b/>
        <i val="0"/>
        <color theme="0"/>
      </font>
      <fill>
        <patternFill patternType="none">
          <bgColor auto="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AB09F7BA-01B5-4A62-9955-AD65DA98969B}">
      <tableStyleElement type="wholeTable" dxfId="29"/>
      <tableStyleElement type="headerRow" dxfId="28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no Excel.xlsx]C̳álculos!tbl_annual_Total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706352363626188E-2"/>
          <c:y val="0.12315105837928132"/>
          <c:w val="0.87367113618413905"/>
          <c:h val="0.661531041690387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4-4449-ACFD-5354B73B35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2339679"/>
        <c:axId val="702340095"/>
      </c:barChart>
      <c:catAx>
        <c:axId val="70233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2340095"/>
        <c:crosses val="autoZero"/>
        <c:auto val="1"/>
        <c:lblAlgn val="ctr"/>
        <c:lblOffset val="100"/>
        <c:noMultiLvlLbl val="0"/>
      </c:catAx>
      <c:valAx>
        <c:axId val="70234009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70233967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11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11906</xdr:colOff>
      <xdr:row>0</xdr:row>
      <xdr:rowOff>0</xdr:rowOff>
    </xdr:from>
    <xdr:to>
      <xdr:col>2</xdr:col>
      <xdr:colOff>142874</xdr:colOff>
      <xdr:row>2</xdr:row>
      <xdr:rowOff>5952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BD189F-23D2-4825-807F-F5FD681F0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42" t="20425" r="72869" b="2127"/>
        <a:stretch/>
      </xdr:blipFill>
      <xdr:spPr>
        <a:xfrm>
          <a:off x="2000250" y="0"/>
          <a:ext cx="369093" cy="541733"/>
        </a:xfrm>
        <a:prstGeom prst="rect">
          <a:avLst/>
        </a:prstGeom>
      </xdr:spPr>
    </xdr:pic>
    <xdr:clientData/>
  </xdr:twoCellAnchor>
  <xdr:twoCellAnchor editAs="absolute">
    <xdr:from>
      <xdr:col>0</xdr:col>
      <xdr:colOff>59530</xdr:colOff>
      <xdr:row>4</xdr:row>
      <xdr:rowOff>150018</xdr:rowOff>
    </xdr:from>
    <xdr:to>
      <xdr:col>0</xdr:col>
      <xdr:colOff>1916906</xdr:colOff>
      <xdr:row>14</xdr:row>
      <xdr:rowOff>71438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92AFD2A4-9A12-4BF1-BA07-515745E9DF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0" y="1064418"/>
              <a:ext cx="1857376" cy="1826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226221</xdr:colOff>
      <xdr:row>3</xdr:row>
      <xdr:rowOff>116677</xdr:rowOff>
    </xdr:from>
    <xdr:to>
      <xdr:col>7</xdr:col>
      <xdr:colOff>523877</xdr:colOff>
      <xdr:row>10</xdr:row>
      <xdr:rowOff>69052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A5F5C3D5-84DB-B4A0-A2A3-B56F5F77DF4D}"/>
            </a:ext>
          </a:extLst>
        </xdr:cNvPr>
        <xdr:cNvGrpSpPr/>
      </xdr:nvGrpSpPr>
      <xdr:grpSpPr>
        <a:xfrm>
          <a:off x="2216946" y="840577"/>
          <a:ext cx="3583781" cy="1285875"/>
          <a:chOff x="2309813" y="523875"/>
          <a:chExt cx="3571875" cy="12858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A9A3D628-3190-E9A4-E303-6B6CA1AA88AB}"/>
              </a:ext>
            </a:extLst>
          </xdr:cNvPr>
          <xdr:cNvSpPr/>
        </xdr:nvSpPr>
        <xdr:spPr>
          <a:xfrm>
            <a:off x="2333625" y="523876"/>
            <a:ext cx="3476625" cy="1262062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3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76DCBC73-212C-4596-ACB7-E86D29DEBD8A}"/>
              </a:ext>
            </a:extLst>
          </xdr:cNvPr>
          <xdr:cNvSpPr/>
        </xdr:nvSpPr>
        <xdr:spPr>
          <a:xfrm>
            <a:off x="3167061" y="628652"/>
            <a:ext cx="2714627" cy="118109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D09CF2F-D3C5-40D4-BC54-5388F0857146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2B65EB3D-2029-4D7F-A694-B3A293C497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09813" y="641749"/>
            <a:ext cx="1131093" cy="1131093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9BF4D08A-B129-4F67-77B2-C78D422F25E5}"/>
              </a:ext>
            </a:extLst>
          </xdr:cNvPr>
          <xdr:cNvSpPr/>
        </xdr:nvSpPr>
        <xdr:spPr>
          <a:xfrm>
            <a:off x="2321718" y="523875"/>
            <a:ext cx="3500438" cy="3214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>
              <a:effectLst/>
            </a:endParaRPr>
          </a:p>
        </xdr:txBody>
      </xdr:sp>
    </xdr:grpSp>
    <xdr:clientData/>
  </xdr:twoCellAnchor>
  <xdr:twoCellAnchor editAs="absolute">
    <xdr:from>
      <xdr:col>8</xdr:col>
      <xdr:colOff>45243</xdr:colOff>
      <xdr:row>3</xdr:row>
      <xdr:rowOff>116677</xdr:rowOff>
    </xdr:from>
    <xdr:to>
      <xdr:col>14</xdr:col>
      <xdr:colOff>140490</xdr:colOff>
      <xdr:row>10</xdr:row>
      <xdr:rowOff>80957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4C1B7D8E-5287-1076-B853-2CAEABBFF603}"/>
            </a:ext>
          </a:extLst>
        </xdr:cNvPr>
        <xdr:cNvGrpSpPr/>
      </xdr:nvGrpSpPr>
      <xdr:grpSpPr>
        <a:xfrm>
          <a:off x="5931693" y="840577"/>
          <a:ext cx="3581397" cy="1297780"/>
          <a:chOff x="5915024" y="521494"/>
          <a:chExt cx="3571872" cy="1297780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928CFEA8-3BF2-4221-863C-3112136EC0BE}"/>
              </a:ext>
            </a:extLst>
          </xdr:cNvPr>
          <xdr:cNvGrpSpPr/>
        </xdr:nvGrpSpPr>
        <xdr:grpSpPr>
          <a:xfrm>
            <a:off x="5915024" y="521494"/>
            <a:ext cx="3571872" cy="1297780"/>
            <a:chOff x="2321718" y="523875"/>
            <a:chExt cx="3571872" cy="129778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2F46FF44-B6C8-7FA5-BE91-CAB7B526F8AF}"/>
                </a:ext>
              </a:extLst>
            </xdr:cNvPr>
            <xdr:cNvSpPr/>
          </xdr:nvSpPr>
          <xdr:spPr>
            <a:xfrm>
              <a:off x="2333625" y="523876"/>
              <a:ext cx="3476625" cy="126206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4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32F49843-4156-47C1-F37E-6D06369874A0}"/>
                </a:ext>
              </a:extLst>
            </xdr:cNvPr>
            <xdr:cNvSpPr/>
          </xdr:nvSpPr>
          <xdr:spPr>
            <a:xfrm>
              <a:off x="3169443" y="640557"/>
              <a:ext cx="2724147" cy="118109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91E57261-DD07-46A7-9797-ACEFAF703D4E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R$ 940,00</a:t>
              </a:fld>
              <a:endParaRPr lang="pt-BR" sz="36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12976E12-7D6F-D0DE-5D31-A3AADBBB9D65}"/>
                </a:ext>
              </a:extLst>
            </xdr:cNvPr>
            <xdr:cNvSpPr/>
          </xdr:nvSpPr>
          <xdr:spPr>
            <a:xfrm>
              <a:off x="2321718" y="523875"/>
              <a:ext cx="3500438" cy="32146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TOTAL SUBSCRIPTIONS MINECRAFT</a:t>
              </a:r>
              <a:r>
                <a:rPr lang="pt-BR" sz="11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t-BR" sz="11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SEASON PASS</a:t>
              </a:r>
              <a:endParaRPr lang="pt-BR">
                <a:effectLst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9342361D-DF9A-4A6E-82B8-7C33B50F6118}"/>
              </a:ext>
            </a:extLst>
          </xdr:cNvPr>
          <xdr:cNvGrpSpPr/>
        </xdr:nvGrpSpPr>
        <xdr:grpSpPr>
          <a:xfrm>
            <a:off x="6000750" y="964408"/>
            <a:ext cx="892969" cy="488156"/>
            <a:chOff x="3082482" y="5363969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D18A91C1-F383-C891-BC2C-E992B4EF9C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585414" y="5363969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07313934-483D-B36E-6B99-693A005A711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082482" y="5859231"/>
              <a:ext cx="1549476" cy="257214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226218</xdr:colOff>
      <xdr:row>11</xdr:row>
      <xdr:rowOff>126200</xdr:rowOff>
    </xdr:from>
    <xdr:to>
      <xdr:col>14</xdr:col>
      <xdr:colOff>59531</xdr:colOff>
      <xdr:row>24</xdr:row>
      <xdr:rowOff>154775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2DD52896-2FBB-72B5-3E05-F12C54798CDD}"/>
            </a:ext>
          </a:extLst>
        </xdr:cNvPr>
        <xdr:cNvGrpSpPr/>
      </xdr:nvGrpSpPr>
      <xdr:grpSpPr>
        <a:xfrm>
          <a:off x="2216943" y="2374100"/>
          <a:ext cx="7215188" cy="2505075"/>
          <a:chOff x="2214562" y="2055019"/>
          <a:chExt cx="7191375" cy="250507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2FA54189-8265-9DA8-9346-92BB6C72D74D}"/>
              </a:ext>
            </a:extLst>
          </xdr:cNvPr>
          <xdr:cNvGrpSpPr/>
        </xdr:nvGrpSpPr>
        <xdr:grpSpPr>
          <a:xfrm>
            <a:off x="2214562" y="2119312"/>
            <a:ext cx="7191375" cy="2440782"/>
            <a:chOff x="1666873" y="571500"/>
            <a:chExt cx="3940971" cy="2726531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DEF0E9F1-ECBE-7F51-31A9-16AD69289EA6}"/>
                </a:ext>
              </a:extLst>
            </xdr:cNvPr>
            <xdr:cNvSpPr/>
          </xdr:nvSpPr>
          <xdr:spPr>
            <a:xfrm>
              <a:off x="1666873" y="571500"/>
              <a:ext cx="3940971" cy="2726531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D10BDFFB-6B23-420C-A677-E6C2A52948ED}"/>
                </a:ext>
              </a:extLst>
            </xdr:cNvPr>
            <xdr:cNvGraphicFramePr>
              <a:graphicFrameLocks/>
            </xdr:cNvGraphicFramePr>
          </xdr:nvGraphicFramePr>
          <xdr:xfrm>
            <a:off x="1819274" y="833437"/>
            <a:ext cx="3562350" cy="230981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DC77ACA8-1772-444A-A990-64F934753F15}"/>
              </a:ext>
            </a:extLst>
          </xdr:cNvPr>
          <xdr:cNvSpPr/>
        </xdr:nvSpPr>
        <xdr:spPr>
          <a:xfrm>
            <a:off x="2224087" y="2055019"/>
            <a:ext cx="7169944" cy="32146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XBOX</a:t>
            </a:r>
            <a:r>
              <a:rPr lang="pt-BR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GAME PASS</a:t>
            </a:r>
            <a:endParaRPr lang="pt-BR">
              <a:effectLst/>
            </a:endParaRPr>
          </a:p>
        </xdr:txBody>
      </xdr:sp>
    </xdr:grpSp>
    <xdr:clientData/>
  </xdr:twoCellAnchor>
  <xdr:twoCellAnchor editAs="absolute">
    <xdr:from>
      <xdr:col>0</xdr:col>
      <xdr:colOff>714375</xdr:colOff>
      <xdr:row>0</xdr:row>
      <xdr:rowOff>119062</xdr:rowOff>
    </xdr:from>
    <xdr:to>
      <xdr:col>0</xdr:col>
      <xdr:colOff>1262062</xdr:colOff>
      <xdr:row>2</xdr:row>
      <xdr:rowOff>95250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C587215-65E4-4000-8CA6-5B40994F43DA}"/>
            </a:ext>
          </a:extLst>
        </xdr:cNvPr>
        <xdr:cNvSpPr/>
      </xdr:nvSpPr>
      <xdr:spPr>
        <a:xfrm>
          <a:off x="714375" y="119062"/>
          <a:ext cx="547687" cy="51196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35719</xdr:colOff>
      <xdr:row>3</xdr:row>
      <xdr:rowOff>59531</xdr:rowOff>
    </xdr:from>
    <xdr:to>
      <xdr:col>0</xdr:col>
      <xdr:colOff>1869280</xdr:colOff>
      <xdr:row>4</xdr:row>
      <xdr:rowOff>107156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7FEC40E-262E-801F-9A37-1E63A67C4908}"/>
            </a:ext>
          </a:extLst>
        </xdr:cNvPr>
        <xdr:cNvSpPr/>
      </xdr:nvSpPr>
      <xdr:spPr>
        <a:xfrm>
          <a:off x="35719" y="785812"/>
          <a:ext cx="1833561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&gt; Bem vinda, Larissa</a:t>
          </a:r>
        </a:p>
      </xdr:txBody>
    </xdr:sp>
    <xdr:clientData/>
  </xdr:twoCellAnchor>
  <xdr:twoCellAnchor editAs="absolute">
    <xdr:from>
      <xdr:col>1</xdr:col>
      <xdr:colOff>178593</xdr:colOff>
      <xdr:row>1</xdr:row>
      <xdr:rowOff>119061</xdr:rowOff>
    </xdr:from>
    <xdr:to>
      <xdr:col>12</xdr:col>
      <xdr:colOff>23810</xdr:colOff>
      <xdr:row>3</xdr:row>
      <xdr:rowOff>95249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D36AC327-7615-4DAA-A8B9-8851A9B1C115}"/>
            </a:ext>
          </a:extLst>
        </xdr:cNvPr>
        <xdr:cNvSpPr/>
      </xdr:nvSpPr>
      <xdr:spPr>
        <a:xfrm>
          <a:off x="2166937" y="452436"/>
          <a:ext cx="5988842" cy="3690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Calculation period: 01/01/2025 - 31/12/2025 | Update date: 25/01/2026 09:00:00</a:t>
          </a:r>
          <a:endParaRPr lang="pt-BR" sz="900">
            <a:solidFill>
              <a:schemeClr val="bg1">
                <a:lumMod val="65000"/>
              </a:schemeClr>
            </a:solidFill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i Donato" refreshedDate="46291.494658217591" createdVersion="8" refreshedVersion="8" minRefreshableVersion="3" recordCount="295" xr:uid="{0389ED33-F6B9-4938-A6BA-FF7256A42FAC}">
  <cacheSource type="worksheet">
    <worksheetSource name="Tbl_anual_total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5786745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0E17E-729B-4850-A1F3-AF38D86382B1}" name="tbl_minecraftpass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3">
    <format dxfId="25">
      <pivotArea outline="0" collapsedLevelsAreSubtotals="1" fieldPosition="0"/>
    </format>
    <format dxfId="24">
      <pivotArea collapsedLevelsAreSubtotals="1" fieldPosition="0">
        <references count="1">
          <reference field="2" count="0"/>
        </references>
      </pivotArea>
    </format>
    <format dxfId="2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1E8CF-8670-4EB0-9215-7F1DD0EB417E}" name="tbl_easeasonpass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formats count="3">
    <format dxfId="27">
      <pivotArea outline="0" collapsedLevelsAreSubtotals="1" fieldPosition="0"/>
    </format>
    <format dxfId="23">
      <pivotArea collapsedLevelsAreSubtotals="1" fieldPosition="0">
        <references count="1">
          <reference field="2" count="0"/>
        </references>
      </pivotArea>
    </format>
    <format dxfId="2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72F4E-DC70-489F-AE86-748BDB062466}" name="tbl_annual_Total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1">
    <format dxfId="26">
      <pivotArea outline="0" collapsedLevelsAreSubtotals="1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9AB5937-E064-4012-8155-7B7F4E9DE73F}" sourceName="Subscription Type">
  <pivotTables>
    <pivotTable tabId="3" name="tbl_annual_Total"/>
    <pivotTable tabId="3" name="tbl_easeasonpasstotal"/>
    <pivotTable tabId="3" name="tbl_minecraftpasstotal"/>
  </pivotTables>
  <data>
    <tabular pivotCacheId="55786745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6BA4063-D9CB-4C89-BE85-25E08E9C36F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anual_total" displayName="Tbl_anual_total" ref="A1:M296" totalsRowShown="0" dataDxfId="43">
  <autoFilter ref="A1:M296" xr:uid="{34E0E886-4200-4B36-97B3-63DB74FF40A0}"/>
  <tableColumns count="13">
    <tableColumn id="1" xr3:uid="{C4A90516-688A-46BF-9167-EA16C2A8A652}" name="Subscriber ID" dataDxfId="42"/>
    <tableColumn id="2" xr3:uid="{53DD39D0-2220-4121-9E9D-4EAA7E151C0F}" name="Name" dataDxfId="41"/>
    <tableColumn id="3" xr3:uid="{4F5FF271-4C57-4BE0-8F2C-F82C8551625C}" name="Plan" dataDxfId="40"/>
    <tableColumn id="4" xr3:uid="{8C17EB93-79B9-4E55-B8F7-BEB82F8253E9}" name="Start Date" dataDxfId="39"/>
    <tableColumn id="5" xr3:uid="{48CEDF9B-1689-482A-A828-5CCE7713264A}" name="Auto Renewal" dataDxfId="38"/>
    <tableColumn id="6" xr3:uid="{78B82374-9AA7-4E38-AE4F-78CDE6C83720}" name="Subscription Price" dataDxfId="37" dataCellStyle="Moeda"/>
    <tableColumn id="7" xr3:uid="{F2433F68-AF33-49D0-B1FB-19A396074EDE}" name="Subscription Type" dataDxfId="36"/>
    <tableColumn id="8" xr3:uid="{FD4D9C95-F6E5-4933-9068-A71FF7DF9343}" name="EA Play Season Pass" dataDxfId="35"/>
    <tableColumn id="13" xr3:uid="{978DD0D2-834E-4CE4-A39B-30976086932F}" name="EA Play Season Pass_x000a_Price" dataDxfId="34" dataCellStyle="Moeda"/>
    <tableColumn id="9" xr3:uid="{6E29F111-C395-4580-9DAD-3407D9E8B1A4}" name="Minecraft Season Pass" dataDxfId="33"/>
    <tableColumn id="10" xr3:uid="{EF544EAA-7F25-4FD5-A10E-8E62804DB9E3}" name="Minecraft Season Pass Price" dataDxfId="32" dataCellStyle="Moeda"/>
    <tableColumn id="11" xr3:uid="{7F6EB64A-1F07-4E48-9F0F-AC7D9DCD26F8}" name="Coupon Value" dataDxfId="31" dataCellStyle="Moeda"/>
    <tableColumn id="12" xr3:uid="{2B04ABC8-DE6F-426E-ADC0-D8AFC68CA58E}" name="Total Value" dataDxfId="3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O18" sqref="O1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O18" sqref="O1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4"/>
  <sheetViews>
    <sheetView showGridLines="0" zoomScale="85" zoomScaleNormal="85" workbookViewId="0">
      <selection activeCell="O18" sqref="O18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6" x14ac:dyDescent="0.25">
      <c r="B2" s="22" t="s">
        <v>318</v>
      </c>
      <c r="C2" s="22"/>
      <c r="D2" s="22"/>
      <c r="E2" s="22"/>
      <c r="F2" s="22"/>
    </row>
    <row r="5" spans="2:6" x14ac:dyDescent="0.25">
      <c r="B5" t="s">
        <v>319</v>
      </c>
    </row>
    <row r="6" spans="2:6" x14ac:dyDescent="0.25">
      <c r="B6" t="s">
        <v>320</v>
      </c>
    </row>
    <row r="8" spans="2:6" x14ac:dyDescent="0.25">
      <c r="B8" s="12" t="s">
        <v>16</v>
      </c>
      <c r="C8" t="s">
        <v>24</v>
      </c>
    </row>
    <row r="10" spans="2:6" x14ac:dyDescent="0.25">
      <c r="B10" s="12" t="s">
        <v>314</v>
      </c>
      <c r="C10" t="s">
        <v>313</v>
      </c>
    </row>
    <row r="11" spans="2:6" x14ac:dyDescent="0.25">
      <c r="B11" s="13" t="s">
        <v>23</v>
      </c>
      <c r="C11" s="20">
        <v>217</v>
      </c>
    </row>
    <row r="12" spans="2:6" x14ac:dyDescent="0.25">
      <c r="B12" s="13" t="s">
        <v>19</v>
      </c>
      <c r="C12" s="20">
        <v>1537</v>
      </c>
    </row>
    <row r="13" spans="2:6" x14ac:dyDescent="0.25">
      <c r="B13" s="13" t="s">
        <v>315</v>
      </c>
      <c r="C13" s="20">
        <v>1754</v>
      </c>
    </row>
    <row r="14" spans="2:6" x14ac:dyDescent="0.25">
      <c r="C14" s="17"/>
    </row>
    <row r="15" spans="2:6" x14ac:dyDescent="0.25">
      <c r="B15" s="13" t="s">
        <v>321</v>
      </c>
      <c r="C15" s="17"/>
    </row>
    <row r="16" spans="2:6" x14ac:dyDescent="0.25">
      <c r="B16" s="14"/>
      <c r="C16" s="17"/>
    </row>
    <row r="17" spans="2:4" x14ac:dyDescent="0.25">
      <c r="B17" s="12" t="s">
        <v>16</v>
      </c>
      <c r="C17" t="s">
        <v>24</v>
      </c>
    </row>
    <row r="18" spans="2:4" x14ac:dyDescent="0.25">
      <c r="C18" s="17"/>
    </row>
    <row r="19" spans="2:4" x14ac:dyDescent="0.25">
      <c r="B19" s="12" t="s">
        <v>314</v>
      </c>
      <c r="C19" t="s">
        <v>316</v>
      </c>
    </row>
    <row r="20" spans="2:4" x14ac:dyDescent="0.25">
      <c r="B20" s="13" t="s">
        <v>22</v>
      </c>
      <c r="C20" s="20">
        <v>0</v>
      </c>
    </row>
    <row r="21" spans="2:4" x14ac:dyDescent="0.25">
      <c r="B21" s="13" t="s">
        <v>26</v>
      </c>
      <c r="C21" s="20">
        <v>0</v>
      </c>
    </row>
    <row r="22" spans="2:4" x14ac:dyDescent="0.25">
      <c r="B22" s="13" t="s">
        <v>18</v>
      </c>
      <c r="C22" s="20">
        <v>600</v>
      </c>
    </row>
    <row r="23" spans="2:4" x14ac:dyDescent="0.25">
      <c r="B23" s="13" t="s">
        <v>315</v>
      </c>
      <c r="C23" s="20">
        <v>600</v>
      </c>
      <c r="D23" s="19">
        <f>GETPIVOTDATA("EA Play Season Pass
Price",$B$19)</f>
        <v>600</v>
      </c>
    </row>
    <row r="24" spans="2:4" x14ac:dyDescent="0.25">
      <c r="C24" s="18"/>
    </row>
    <row r="25" spans="2:4" x14ac:dyDescent="0.25">
      <c r="C25" s="18"/>
    </row>
    <row r="26" spans="2:4" x14ac:dyDescent="0.25">
      <c r="B26" s="13" t="s">
        <v>322</v>
      </c>
      <c r="C26" s="17"/>
    </row>
    <row r="27" spans="2:4" x14ac:dyDescent="0.25">
      <c r="B27" s="14"/>
      <c r="C27" s="17"/>
    </row>
    <row r="28" spans="2:4" x14ac:dyDescent="0.25">
      <c r="B28" s="12" t="s">
        <v>16</v>
      </c>
      <c r="C28" t="s">
        <v>24</v>
      </c>
    </row>
    <row r="29" spans="2:4" x14ac:dyDescent="0.25">
      <c r="C29" s="17"/>
    </row>
    <row r="30" spans="2:4" x14ac:dyDescent="0.25">
      <c r="B30" s="12" t="s">
        <v>314</v>
      </c>
      <c r="C30" t="s">
        <v>317</v>
      </c>
    </row>
    <row r="31" spans="2:4" x14ac:dyDescent="0.25">
      <c r="B31" s="13" t="s">
        <v>22</v>
      </c>
      <c r="C31" s="20">
        <v>0</v>
      </c>
    </row>
    <row r="32" spans="2:4" x14ac:dyDescent="0.25">
      <c r="B32" s="13" t="s">
        <v>26</v>
      </c>
      <c r="C32" s="20">
        <v>540</v>
      </c>
    </row>
    <row r="33" spans="2:4" x14ac:dyDescent="0.25">
      <c r="B33" s="13" t="s">
        <v>18</v>
      </c>
      <c r="C33" s="20">
        <v>400</v>
      </c>
    </row>
    <row r="34" spans="2:4" x14ac:dyDescent="0.25">
      <c r="B34" s="13" t="s">
        <v>315</v>
      </c>
      <c r="C34" s="20">
        <v>940</v>
      </c>
      <c r="D34" s="20">
        <f>GETPIVOTDATA("Minecraft Season Pass Price",$B$30)</f>
        <v>940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60"/>
  <sheetViews>
    <sheetView showGridLines="0" tabSelected="1" zoomScaleNormal="100" workbookViewId="0">
      <selection activeCell="A30" sqref="A30:XFD1048576"/>
    </sheetView>
  </sheetViews>
  <sheetFormatPr defaultColWidth="0" defaultRowHeight="15" zeroHeight="1" x14ac:dyDescent="0.25"/>
  <cols>
    <col min="1" max="1" width="29.85546875" style="23" customWidth="1"/>
    <col min="2" max="2" width="3.5703125" style="25" customWidth="1"/>
    <col min="3" max="11" width="9.140625" style="25" customWidth="1"/>
    <col min="12" max="12" width="6.5703125" style="25" customWidth="1"/>
    <col min="13" max="17" width="9.140625" style="25" customWidth="1"/>
    <col min="18" max="16384" width="9.140625" style="25" hidden="1"/>
  </cols>
  <sheetData>
    <row r="1" spans="1:14" customFormat="1" ht="26.25" customHeight="1" thickBot="1" x14ac:dyDescent="0.5">
      <c r="A1" s="4"/>
      <c r="C1" s="21" t="s">
        <v>323</v>
      </c>
      <c r="D1" s="16"/>
      <c r="E1" s="16"/>
      <c r="F1" s="16"/>
      <c r="G1" s="16"/>
      <c r="H1" s="16"/>
      <c r="I1" s="16"/>
      <c r="J1" s="15"/>
      <c r="K1" s="15"/>
      <c r="L1" s="15"/>
      <c r="M1" s="15"/>
      <c r="N1" s="15"/>
    </row>
    <row r="2" spans="1:14" s="7" customFormat="1" ht="15.75" thickTop="1" x14ac:dyDescent="0.25">
      <c r="A2" s="4"/>
    </row>
    <row r="3" spans="1:14" s="7" customFormat="1" x14ac:dyDescent="0.25">
      <c r="A3" s="4"/>
    </row>
    <row r="4" spans="1:14" s="7" customFormat="1" x14ac:dyDescent="0.25">
      <c r="A4" s="4"/>
    </row>
    <row r="5" spans="1:14" s="7" customFormat="1" x14ac:dyDescent="0.25">
      <c r="A5" s="4"/>
    </row>
    <row r="6" spans="1:14" s="7" customFormat="1" x14ac:dyDescent="0.25">
      <c r="A6" s="4"/>
    </row>
    <row r="7" spans="1:14" s="7" customFormat="1" x14ac:dyDescent="0.25">
      <c r="A7" s="4"/>
    </row>
    <row r="8" spans="1:14" s="7" customFormat="1" x14ac:dyDescent="0.25">
      <c r="A8" s="4"/>
    </row>
    <row r="9" spans="1:14" s="7" customFormat="1" x14ac:dyDescent="0.25">
      <c r="A9" s="4"/>
    </row>
    <row r="10" spans="1:14" s="7" customFormat="1" x14ac:dyDescent="0.25">
      <c r="A10" s="4"/>
    </row>
    <row r="11" spans="1:14" s="7" customFormat="1" x14ac:dyDescent="0.25">
      <c r="A11" s="4"/>
    </row>
    <row r="12" spans="1:14" s="7" customFormat="1" x14ac:dyDescent="0.25">
      <c r="A12" s="4"/>
    </row>
    <row r="13" spans="1:14" s="7" customFormat="1" x14ac:dyDescent="0.25">
      <c r="A13" s="4"/>
    </row>
    <row r="14" spans="1:14" s="7" customFormat="1" x14ac:dyDescent="0.25">
      <c r="A14" s="4"/>
    </row>
    <row r="15" spans="1:14" s="7" customFormat="1" x14ac:dyDescent="0.25">
      <c r="A15" s="4"/>
    </row>
    <row r="16" spans="1:14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24" customFormat="1" hidden="1" x14ac:dyDescent="0.25">
      <c r="A30" s="23"/>
    </row>
    <row r="31" spans="1:1" s="24" customFormat="1" hidden="1" x14ac:dyDescent="0.25">
      <c r="A31" s="23"/>
    </row>
    <row r="32" spans="1:1" s="24" customFormat="1" hidden="1" x14ac:dyDescent="0.25">
      <c r="A32" s="23"/>
    </row>
    <row r="33" spans="1:1" s="24" customFormat="1" hidden="1" x14ac:dyDescent="0.25">
      <c r="A33" s="23"/>
    </row>
    <row r="34" spans="1:1" s="24" customFormat="1" hidden="1" x14ac:dyDescent="0.25">
      <c r="A34" s="23"/>
    </row>
    <row r="35" spans="1:1" s="24" customFormat="1" hidden="1" x14ac:dyDescent="0.25">
      <c r="A35" s="23"/>
    </row>
    <row r="36" spans="1:1" s="24" customFormat="1" hidden="1" x14ac:dyDescent="0.25">
      <c r="A36" s="23"/>
    </row>
    <row r="37" spans="1:1" s="24" customFormat="1" hidden="1" x14ac:dyDescent="0.25">
      <c r="A37" s="23"/>
    </row>
    <row r="38" spans="1:1" s="24" customFormat="1" hidden="1" x14ac:dyDescent="0.25">
      <c r="A38" s="23"/>
    </row>
    <row r="39" spans="1:1" s="24" customFormat="1" hidden="1" x14ac:dyDescent="0.25">
      <c r="A39" s="23"/>
    </row>
    <row r="40" spans="1:1" s="24" customFormat="1" hidden="1" x14ac:dyDescent="0.25">
      <c r="A40" s="23"/>
    </row>
    <row r="41" spans="1:1" s="24" customFormat="1" hidden="1" x14ac:dyDescent="0.25">
      <c r="A41" s="23"/>
    </row>
    <row r="42" spans="1:1" s="24" customFormat="1" hidden="1" x14ac:dyDescent="0.25">
      <c r="A42" s="23"/>
    </row>
    <row r="43" spans="1:1" s="24" customFormat="1" hidden="1" x14ac:dyDescent="0.25">
      <c r="A43" s="23"/>
    </row>
    <row r="44" spans="1:1" s="24" customFormat="1" hidden="1" x14ac:dyDescent="0.25">
      <c r="A44" s="23"/>
    </row>
    <row r="45" spans="1:1" s="24" customFormat="1" hidden="1" x14ac:dyDescent="0.25">
      <c r="A45" s="23"/>
    </row>
    <row r="46" spans="1:1" s="24" customFormat="1" hidden="1" x14ac:dyDescent="0.25">
      <c r="A46" s="23"/>
    </row>
    <row r="47" spans="1:1" s="24" customFormat="1" hidden="1" x14ac:dyDescent="0.25">
      <c r="A47" s="23"/>
    </row>
    <row r="48" spans="1:1" s="24" customFormat="1" hidden="1" x14ac:dyDescent="0.25">
      <c r="A48" s="23"/>
    </row>
    <row r="49" spans="1:1" s="24" customFormat="1" hidden="1" x14ac:dyDescent="0.25">
      <c r="A49" s="23"/>
    </row>
    <row r="50" spans="1:1" s="24" customFormat="1" hidden="1" x14ac:dyDescent="0.25">
      <c r="A50" s="23"/>
    </row>
    <row r="51" spans="1:1" s="24" customFormat="1" hidden="1" x14ac:dyDescent="0.25">
      <c r="A51" s="23"/>
    </row>
    <row r="52" spans="1:1" s="24" customFormat="1" hidden="1" x14ac:dyDescent="0.25">
      <c r="A52" s="23"/>
    </row>
    <row r="53" spans="1:1" s="24" customFormat="1" hidden="1" x14ac:dyDescent="0.25">
      <c r="A53" s="23"/>
    </row>
    <row r="54" spans="1:1" s="24" customFormat="1" hidden="1" x14ac:dyDescent="0.25">
      <c r="A54" s="23"/>
    </row>
    <row r="55" spans="1:1" s="24" customFormat="1" hidden="1" x14ac:dyDescent="0.25">
      <c r="A55" s="23"/>
    </row>
    <row r="56" spans="1:1" s="24" customFormat="1" hidden="1" x14ac:dyDescent="0.25">
      <c r="A56" s="23"/>
    </row>
    <row r="57" spans="1:1" s="24" customFormat="1" hidden="1" x14ac:dyDescent="0.25">
      <c r="A57" s="23"/>
    </row>
    <row r="58" spans="1:1" s="24" customFormat="1" hidden="1" x14ac:dyDescent="0.25">
      <c r="A58" s="23"/>
    </row>
    <row r="59" spans="1:1" s="24" customFormat="1" hidden="1" x14ac:dyDescent="0.25">
      <c r="A59" s="23"/>
    </row>
    <row r="60" spans="1:1" s="24" customFormat="1" hidden="1" x14ac:dyDescent="0.25">
      <c r="A60" s="23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Lari Donato</cp:lastModifiedBy>
  <dcterms:created xsi:type="dcterms:W3CDTF">2024-12-19T13:13:10Z</dcterms:created>
  <dcterms:modified xsi:type="dcterms:W3CDTF">2026-09-26T15:03:52Z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